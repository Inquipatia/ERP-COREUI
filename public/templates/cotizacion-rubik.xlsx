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tizacion Rubik" sheetId="1" r:id="rId5"/>
  </sheets>
  <definedNames/>
  <calcPr/>
</workbook>
</file>

<file path=xl/sharedStrings.xml><?xml version="1.0" encoding="utf-8"?>
<sst xmlns="http://schemas.openxmlformats.org/spreadsheetml/2006/main" count="38" uniqueCount="36">
  <si>
    <t>COTIZACIÓN</t>
  </si>
  <si>
    <t>RUT: 77.589.233-1</t>
  </si>
  <si>
    <t>DIRECCIÓN</t>
  </si>
  <si>
    <t>Rubik Creaciones SPA</t>
  </si>
  <si>
    <t>N° COTIZACIÓN</t>
  </si>
  <si>
    <t>TELÉFONO</t>
  </si>
  <si>
    <t>FECHA</t>
  </si>
  <si>
    <t>EMAIL</t>
  </si>
  <si>
    <t>e.rubikcreaciones@gmail.com</t>
  </si>
  <si>
    <t>VENDEDOR</t>
  </si>
  <si>
    <t xml:space="preserve">juan </t>
  </si>
  <si>
    <t>CLIENTE</t>
  </si>
  <si>
    <t>RUT CLIENTE</t>
  </si>
  <si>
    <t>EMPRESA</t>
  </si>
  <si>
    <t>ATENCIÓN</t>
  </si>
  <si>
    <t>COMUNA</t>
  </si>
  <si>
    <t>TEMA</t>
  </si>
  <si>
    <t>CONDICIÓN</t>
  </si>
  <si>
    <t>Cotización según solicitud</t>
  </si>
  <si>
    <t>Cantidad</t>
  </si>
  <si>
    <t>Descripción técnica del producto / servicio</t>
  </si>
  <si>
    <t>Valor Unitario</t>
  </si>
  <si>
    <t>Valor Total</t>
  </si>
  <si>
    <t>Observaciones</t>
  </si>
  <si>
    <t>servicio de diseño de piezas gráficas orientadas a la difusión digital y presentación comercial de emprendimientos participantes de Expo Lanas 2026, con el objetivo de fortalecer su presencia en redes sociales y mejorar la comunicación visual de sus productos.El servicio contempla:Diseño de tarjetas de presentación, alineadas con la identidad visual del emprendimiento, incluyendo información de contacto, redes sociales y elementos gráficos representativos de la marca.Desarrollo de catálogo digital tipo infografía, que integre:Imágenes de productos.Descripciones claras y atractivas.Organización visual que facilite la lectura y comprensión de la oferta.Diseño de piezas gráficas para redes sociales, adaptadas a distintos formatos (feed, historias u otros), manteniendo coherencia estética y comunicacional.Definición de una línea gráfica consistente, asegurando unidad visual entre tarjetas, catálogo y contenido digital. Entrega de archivos finales listos para difusión en plataformas digitales y/o impresión según corresponda.</t>
  </si>
  <si>
    <t>servicio de asesoría técnica en diseño gráfico dirigido a emprendedoras expositoras de Expo Lanas 2026 , el servicio contempla: la creacion de logotipo para emprendimientos que no cuenten con identidad grafica previa, desarrollando propuestas originales acordes a la esencia de la marca, cuenta con una optimizacion de lootipos existentes con foco en Mejora de la legibilidad.Coherencia visual y conceptual. Adaptabilidad a distintos formatos y soportes (digitales e impresos).Entrega de archivos finales en formatos adecuados para impresión y uso digital.</t>
  </si>
  <si>
    <t>servicio de evaluación y mejora de etiquetado para emprendedoras expositoras de Expo Lanas 2026, orientado a optimizar la presentación de sus productos y fortalecer la comunicación de su marca en el punto de venta.El servicio contempla: revision integral de etiquetas existentes, considerando aspectos como diseño, legibilidad, jerarquía de la información y coherencia con la identidad visual del emprendimiento. Propuestas de mejora gráfica y estructural, enfocadas en: Claridad en la información relevante (marca, tipo de producto, materiales, cuidados, entre otros). Atractivo visual y diferenciación frente a la competencia. Consistencia con el logotipo y la línea gráfica definida.Optimización del formato de etiquetado, asegurando su correcta aplicación en distintos tipos de productos (ovillos, prendas, accesorios, etc.).Entrega de diseños finales listos para producción, en formatos adecuados para impresión.</t>
  </si>
  <si>
    <t>DATOS DE TRANSFERENCIA</t>
  </si>
  <si>
    <t>NETO</t>
  </si>
  <si>
    <t>Banco BCI · CTA. CORRIENTE 63730588</t>
  </si>
  <si>
    <t>IVA 19%</t>
  </si>
  <si>
    <t>RUT 77.589.233-1 · contacto@rubikcreaciones.cl</t>
  </si>
  <si>
    <t>TOTAL</t>
  </si>
  <si>
    <t>www.rubikcreaciones.cl</t>
  </si>
  <si>
    <t>Notas comerciales</t>
  </si>
  <si>
    <t>• Valores incluyen IVA, salvo indicación contraria. • Plazo de entrega sujeto a aprobación de arte y disponibilidad de materiales. • Instalación/despacho se considera solo si está indicado en la descripción.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</si>
</sst>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0"/>
  </numFmts>
  <fonts count="18">
    <font>
      <sz val="11.0"/>
      <color rgb="FF000000"/>
      <name val="Carlito"/>
      <scheme val="minor"/>
    </font>
    <font>
      <b/>
      <sz val="34.0"/>
      <color rgb="FFE91E7A"/>
      <name val="Carlito"/>
    </font>
    <font>
      <b/>
      <sz val="20.0"/>
      <color rgb="FF2D237E"/>
      <name val="Carlito"/>
    </font>
    <font/>
    <font>
      <b/>
      <sz val="13.0"/>
      <color rgb="FF2D237E"/>
      <name val="Carlito"/>
    </font>
    <font>
      <sz val="11.0"/>
      <color theme="1"/>
      <name val="Carlito"/>
    </font>
    <font>
      <b/>
      <sz val="9.0"/>
      <color rgb="FF2D237E"/>
      <name val="Carlito"/>
    </font>
    <font>
      <sz val="12.0"/>
      <color rgb="FF374151"/>
      <name val="Carlito"/>
    </font>
    <font>
      <sz val="9.0"/>
      <color rgb="FF374151"/>
      <name val="Carlito"/>
    </font>
    <font>
      <sz val="14.0"/>
      <color rgb="FF374151"/>
      <name val="Carlito"/>
    </font>
    <font>
      <color theme="1"/>
      <name val="Carlito"/>
      <scheme val="minor"/>
    </font>
    <font>
      <b/>
      <sz val="14.0"/>
      <color rgb="FF2D237E"/>
      <name val="Carlito"/>
    </font>
    <font>
      <b/>
      <sz val="9.0"/>
      <color rgb="FFFFFFFF"/>
      <name val="Carlito"/>
    </font>
    <font>
      <b/>
      <sz val="10.0"/>
      <color rgb="FF2D237E"/>
      <name val="Carlito"/>
    </font>
    <font>
      <b/>
      <sz val="10.0"/>
      <color rgb="FF374151"/>
      <name val="Carlito"/>
    </font>
    <font>
      <b/>
      <sz val="11.0"/>
      <color rgb="FF2D237E"/>
      <name val="Carlito"/>
    </font>
    <font>
      <sz val="9.0"/>
      <color rgb="FF6B5BB8"/>
      <name val="Carlito"/>
    </font>
    <font>
      <b/>
      <sz val="12.0"/>
      <color rgb="FF2D237E"/>
      <name val="Carlito"/>
    </font>
  </fonts>
  <fills count="8">
    <fill>
      <patternFill patternType="none"/>
    </fill>
    <fill>
      <patternFill patternType="lightGray"/>
    </fill>
    <fill>
      <patternFill patternType="solid">
        <fgColor rgb="FFFFFFFF"/>
        <bgColor rgb="FFFFFFFF"/>
      </patternFill>
    </fill>
    <fill>
      <patternFill patternType="solid">
        <fgColor rgb="FFFCE7F3"/>
        <bgColor rgb="FFFCE7F3"/>
      </patternFill>
    </fill>
    <fill>
      <patternFill patternType="solid">
        <fgColor rgb="FFF3F4F6"/>
        <bgColor rgb="FFF3F4F6"/>
      </patternFill>
    </fill>
    <fill>
      <patternFill patternType="solid">
        <fgColor rgb="FFE91E7A"/>
        <bgColor rgb="FFE91E7A"/>
      </patternFill>
    </fill>
    <fill>
      <patternFill patternType="solid">
        <fgColor rgb="FFFAFAFA"/>
        <bgColor rgb="FFFAFAFA"/>
      </patternFill>
    </fill>
    <fill>
      <patternFill patternType="solid">
        <fgColor rgb="FFFDF2F8"/>
        <bgColor rgb="FFFDF2F8"/>
      </patternFill>
    </fill>
  </fills>
  <borders count="13">
    <border/>
    <border>
      <left style="thin">
        <color rgb="FF6B5BB8"/>
      </left>
      <top style="thin">
        <color rgb="FF6B5BB8"/>
      </top>
    </border>
    <border>
      <top style="thin">
        <color rgb="FF6B5BB8"/>
      </top>
    </border>
    <border>
      <right style="thin">
        <color rgb="FF6B5BB8"/>
      </right>
      <top style="thin">
        <color rgb="FF6B5BB8"/>
      </top>
    </border>
    <border>
      <left style="thin">
        <color rgb="FF6B5BB8"/>
      </left>
      <bottom style="thin">
        <color rgb="FF6B5BB8"/>
      </bottom>
    </border>
    <border>
      <bottom style="thin">
        <color rgb="FF6B5BB8"/>
      </bottom>
    </border>
    <border>
      <right style="thin">
        <color rgb="FF6B5BB8"/>
      </right>
      <bottom style="thin">
        <color rgb="FF6B5BB8"/>
      </bottom>
    </border>
    <border>
      <left style="thin">
        <color rgb="FF6B5BB8"/>
      </left>
    </border>
    <border>
      <right style="thin">
        <color rgb="FF6B5BB8"/>
      </right>
    </border>
    <border>
      <left style="thin">
        <color rgb="FF6B5BB8"/>
      </left>
      <right style="thin">
        <color rgb="FF6B5BB8"/>
      </right>
      <top style="thin">
        <color rgb="FF6B5BB8"/>
      </top>
      <bottom style="thin">
        <color rgb="FF6B5BB8"/>
      </bottom>
    </border>
    <border>
      <left style="thin">
        <color rgb="FF6B5BB8"/>
      </left>
      <top style="thin">
        <color rgb="FF6B5BB8"/>
      </top>
      <bottom style="thin">
        <color rgb="FF6B5BB8"/>
      </bottom>
    </border>
    <border>
      <top style="thin">
        <color rgb="FF6B5BB8"/>
      </top>
      <bottom style="thin">
        <color rgb="FF6B5BB8"/>
      </bottom>
    </border>
    <border>
      <right style="thin">
        <color rgb="FF6B5BB8"/>
      </right>
      <top style="thin">
        <color rgb="FF6B5BB8"/>
      </top>
      <bottom style="thin">
        <color rgb="FF6B5BB8"/>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0" fillId="2" fontId="1" numFmtId="0" xfId="0" applyAlignment="1" applyFill="1" applyFont="1">
      <alignment horizontal="center" vertical="center"/>
    </xf>
    <xf borderId="1" fillId="3" fontId="2" numFmtId="0" xfId="0" applyAlignment="1" applyBorder="1" applyFill="1" applyFont="1">
      <alignment horizontal="center" vertical="center"/>
    </xf>
    <xf borderId="2" fillId="0" fontId="3" numFmtId="0" xfId="0" applyBorder="1" applyFont="1"/>
    <xf borderId="3" fillId="0" fontId="3" numFmtId="0" xfId="0" applyBorder="1" applyFont="1"/>
    <xf borderId="4" fillId="0" fontId="3" numFmtId="0" xfId="0" applyBorder="1" applyFont="1"/>
    <xf borderId="5" fillId="0" fontId="3" numFmtId="0" xfId="0" applyBorder="1" applyFont="1"/>
    <xf borderId="6" fillId="0" fontId="3" numFmtId="0" xfId="0" applyBorder="1" applyFont="1"/>
    <xf borderId="1" fillId="2" fontId="4" numFmtId="0" xfId="0" applyAlignment="1" applyBorder="1" applyFont="1">
      <alignment horizontal="center" vertical="center"/>
    </xf>
    <xf borderId="7" fillId="0" fontId="3" numFmtId="0" xfId="0" applyBorder="1" applyFont="1"/>
    <xf borderId="8" fillId="0" fontId="3" numFmtId="0" xfId="0" applyBorder="1" applyFont="1"/>
    <xf borderId="0" fillId="3" fontId="5" numFmtId="0" xfId="0" applyAlignment="1" applyFont="1">
      <alignment vertical="center"/>
    </xf>
    <xf borderId="9" fillId="4" fontId="6" numFmtId="0" xfId="0" applyAlignment="1" applyBorder="1" applyFill="1" applyFont="1">
      <alignment vertical="center"/>
    </xf>
    <xf borderId="10" fillId="2" fontId="7" numFmtId="0" xfId="0" applyAlignment="1" applyBorder="1" applyFont="1">
      <alignment horizontal="center" readingOrder="0" vertical="center"/>
    </xf>
    <xf borderId="11" fillId="0" fontId="3" numFmtId="0" xfId="0" applyBorder="1" applyFont="1"/>
    <xf borderId="12" fillId="0" fontId="3" numFmtId="0" xfId="0" applyBorder="1" applyFont="1"/>
    <xf borderId="10" fillId="2" fontId="8" numFmtId="0" xfId="0" applyAlignment="1" applyBorder="1" applyFont="1">
      <alignment horizontal="center" vertical="center"/>
    </xf>
    <xf borderId="10" fillId="2" fontId="9" numFmtId="0" xfId="0" applyAlignment="1" applyBorder="1" applyFont="1">
      <alignment horizontal="center" readingOrder="0" vertical="center"/>
    </xf>
    <xf borderId="10" fillId="2" fontId="8" numFmtId="164" xfId="0" applyAlignment="1" applyBorder="1" applyFont="1" applyNumberFormat="1">
      <alignment horizontal="center" vertical="center"/>
    </xf>
    <xf borderId="10" fillId="2" fontId="8" numFmtId="0" xfId="0" applyAlignment="1" applyBorder="1" applyFont="1">
      <alignment horizontal="center" readingOrder="0" vertical="center"/>
    </xf>
    <xf borderId="10" fillId="0" fontId="10" numFmtId="0" xfId="0" applyBorder="1" applyFont="1"/>
    <xf borderId="10" fillId="2" fontId="8" numFmtId="0" xfId="0" applyAlignment="1" applyBorder="1" applyFont="1">
      <alignment vertical="center"/>
    </xf>
    <xf borderId="0" fillId="3" fontId="11" numFmtId="0" xfId="0" applyAlignment="1" applyFont="1">
      <alignment horizontal="center" vertical="center"/>
    </xf>
    <xf borderId="9" fillId="5" fontId="12" numFmtId="0" xfId="0" applyAlignment="1" applyBorder="1" applyFill="1" applyFont="1">
      <alignment horizontal="center" shrinkToFit="0" vertical="center" wrapText="1"/>
    </xf>
    <xf borderId="10" fillId="5" fontId="12" numFmtId="0" xfId="0" applyAlignment="1" applyBorder="1" applyFont="1">
      <alignment horizontal="center" shrinkToFit="0" vertical="center" wrapText="1"/>
    </xf>
    <xf borderId="9" fillId="2" fontId="8" numFmtId="0" xfId="0" applyAlignment="1" applyBorder="1" applyFont="1">
      <alignment horizontal="center" readingOrder="0" shrinkToFit="0" vertical="top" wrapText="1"/>
    </xf>
    <xf borderId="10" fillId="2" fontId="8" numFmtId="0" xfId="0" applyAlignment="1" applyBorder="1" applyFont="1">
      <alignment readingOrder="0" shrinkToFit="0" vertical="center" wrapText="1"/>
    </xf>
    <xf borderId="9" fillId="2" fontId="8" numFmtId="165" xfId="0" applyAlignment="1" applyBorder="1" applyFont="1" applyNumberFormat="1">
      <alignment horizontal="right" readingOrder="0" shrinkToFit="0" vertical="top" wrapText="1"/>
    </xf>
    <xf borderId="10" fillId="2" fontId="8" numFmtId="165" xfId="0" applyAlignment="1" applyBorder="1" applyFont="1" applyNumberFormat="1">
      <alignment horizontal="right" shrinkToFit="0" vertical="top" wrapText="1"/>
    </xf>
    <xf borderId="9" fillId="2" fontId="8" numFmtId="0" xfId="0" applyAlignment="1" applyBorder="1" applyFont="1">
      <alignment shrinkToFit="0" vertical="top" wrapText="1"/>
    </xf>
    <xf borderId="9" fillId="6" fontId="8" numFmtId="0" xfId="0" applyAlignment="1" applyBorder="1" applyFill="1" applyFont="1">
      <alignment horizontal="center" readingOrder="0" shrinkToFit="0" vertical="top" wrapText="1"/>
    </xf>
    <xf borderId="10" fillId="6" fontId="8" numFmtId="0" xfId="0" applyAlignment="1" applyBorder="1" applyFont="1">
      <alignment readingOrder="0" shrinkToFit="0" vertical="top" wrapText="1"/>
    </xf>
    <xf borderId="9" fillId="6" fontId="8" numFmtId="165" xfId="0" applyAlignment="1" applyBorder="1" applyFont="1" applyNumberFormat="1">
      <alignment horizontal="right" shrinkToFit="0" vertical="top" wrapText="1"/>
    </xf>
    <xf borderId="10" fillId="6" fontId="8" numFmtId="165" xfId="0" applyAlignment="1" applyBorder="1" applyFont="1" applyNumberFormat="1">
      <alignment horizontal="right" shrinkToFit="0" vertical="top" wrapText="1"/>
    </xf>
    <xf borderId="9" fillId="6" fontId="8" numFmtId="0" xfId="0" applyAlignment="1" applyBorder="1" applyFont="1">
      <alignment shrinkToFit="0" vertical="top" wrapText="1"/>
    </xf>
    <xf borderId="9" fillId="2" fontId="8" numFmtId="0" xfId="0" applyAlignment="1" applyBorder="1" applyFont="1">
      <alignment horizontal="center" shrinkToFit="0" vertical="top" wrapText="1"/>
    </xf>
    <xf borderId="9" fillId="2" fontId="8" numFmtId="165" xfId="0" applyAlignment="1" applyBorder="1" applyFont="1" applyNumberFormat="1">
      <alignment horizontal="right" shrinkToFit="0" vertical="top" wrapText="1"/>
    </xf>
    <xf borderId="9" fillId="6" fontId="8" numFmtId="0" xfId="0" applyAlignment="1" applyBorder="1" applyFont="1">
      <alignment horizontal="center" shrinkToFit="0" vertical="top" wrapText="1"/>
    </xf>
    <xf borderId="10" fillId="2" fontId="8" numFmtId="0" xfId="0" applyAlignment="1" applyBorder="1" applyFont="1">
      <alignment readingOrder="0" shrinkToFit="0" vertical="top" wrapText="1"/>
    </xf>
    <xf borderId="10" fillId="6" fontId="8" numFmtId="0" xfId="0" applyAlignment="1" applyBorder="1" applyFont="1">
      <alignment shrinkToFit="0" vertical="top" wrapText="1"/>
    </xf>
    <xf borderId="10" fillId="2" fontId="8" numFmtId="0" xfId="0" applyAlignment="1" applyBorder="1" applyFont="1">
      <alignment shrinkToFit="0" vertical="top" wrapText="1"/>
    </xf>
    <xf borderId="0" fillId="3" fontId="10" numFmtId="0" xfId="0" applyFont="1"/>
    <xf borderId="0" fillId="7" fontId="13" numFmtId="0" xfId="0" applyAlignment="1" applyFill="1" applyFont="1">
      <alignment horizontal="center" vertical="center"/>
    </xf>
    <xf borderId="9" fillId="4" fontId="14" numFmtId="0" xfId="0" applyAlignment="1" applyBorder="1" applyFont="1">
      <alignment vertical="center"/>
    </xf>
    <xf borderId="10" fillId="2" fontId="15" numFmtId="165" xfId="0" applyAlignment="1" applyBorder="1" applyFont="1" applyNumberFormat="1">
      <alignment horizontal="right" vertical="center"/>
    </xf>
    <xf borderId="0" fillId="2" fontId="16" numFmtId="0" xfId="0" applyAlignment="1" applyFont="1">
      <alignment horizontal="center" vertical="center"/>
    </xf>
    <xf borderId="9" fillId="3" fontId="17" numFmtId="0" xfId="0" applyAlignment="1" applyBorder="1" applyFont="1">
      <alignment horizontal="left" vertical="center"/>
    </xf>
    <xf borderId="10" fillId="3" fontId="17" numFmtId="165" xfId="0" applyAlignment="1" applyBorder="1" applyFont="1" applyNumberFormat="1">
      <alignment horizontal="right" vertical="center"/>
    </xf>
    <xf borderId="10" fillId="7" fontId="13" numFmtId="0" xfId="0" applyAlignment="1" applyBorder="1" applyFont="1">
      <alignment shrinkToFit="0" vertical="center" wrapText="1"/>
    </xf>
    <xf borderId="10" fillId="7" fontId="8"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152525" cy="3333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4" width="15.13"/>
    <col customWidth="1" min="5" max="8" width="11.5"/>
  </cols>
  <sheetData>
    <row r="1" ht="27.75" customHeight="1">
      <c r="A1" s="1"/>
      <c r="E1" s="2" t="s">
        <v>0</v>
      </c>
      <c r="F1" s="3"/>
      <c r="G1" s="3"/>
      <c r="H1" s="4"/>
    </row>
    <row r="2" ht="18.0" customHeight="1">
      <c r="E2" s="5"/>
      <c r="F2" s="6"/>
      <c r="G2" s="6"/>
      <c r="H2" s="7"/>
    </row>
    <row r="3" ht="15.75" customHeight="1">
      <c r="E3" s="8" t="s">
        <v>1</v>
      </c>
      <c r="F3" s="3"/>
      <c r="G3" s="3"/>
      <c r="H3" s="4"/>
    </row>
    <row r="4" ht="15.75" customHeight="1">
      <c r="E4" s="9"/>
      <c r="H4" s="10"/>
    </row>
    <row r="5" ht="7.5" customHeight="1">
      <c r="A5" s="11"/>
      <c r="E5" s="5"/>
      <c r="F5" s="6"/>
      <c r="G5" s="6"/>
      <c r="H5" s="7"/>
    </row>
    <row r="6">
      <c r="A6" s="12" t="s">
        <v>2</v>
      </c>
      <c r="B6" s="13" t="s">
        <v>3</v>
      </c>
      <c r="C6" s="14"/>
      <c r="D6" s="15"/>
      <c r="E6" s="12" t="s">
        <v>4</v>
      </c>
      <c r="F6" s="16">
        <v>8103.0</v>
      </c>
      <c r="G6" s="14"/>
      <c r="H6" s="15"/>
    </row>
    <row r="7" ht="30.75" customHeight="1">
      <c r="A7" s="12" t="s">
        <v>5</v>
      </c>
      <c r="B7" s="17">
        <v>9.3535395E7</v>
      </c>
      <c r="C7" s="14"/>
      <c r="D7" s="15"/>
      <c r="E7" s="12" t="s">
        <v>6</v>
      </c>
      <c r="F7" s="18">
        <v>46153.0</v>
      </c>
      <c r="G7" s="14"/>
      <c r="H7" s="15"/>
    </row>
    <row r="8">
      <c r="A8" s="12" t="s">
        <v>7</v>
      </c>
      <c r="B8" s="16" t="s">
        <v>8</v>
      </c>
      <c r="C8" s="14"/>
      <c r="D8" s="15"/>
      <c r="E8" s="12" t="s">
        <v>9</v>
      </c>
      <c r="F8" s="19" t="s">
        <v>10</v>
      </c>
      <c r="G8" s="14"/>
      <c r="H8" s="15"/>
    </row>
    <row r="9">
      <c r="A9" s="12" t="s">
        <v>11</v>
      </c>
      <c r="B9" s="20"/>
      <c r="C9" s="14"/>
      <c r="D9" s="15"/>
      <c r="E9" s="12" t="s">
        <v>12</v>
      </c>
    </row>
    <row r="10">
      <c r="A10" s="12" t="s">
        <v>13</v>
      </c>
      <c r="B10" s="16"/>
      <c r="C10" s="14"/>
      <c r="D10" s="15"/>
      <c r="E10" s="12" t="s">
        <v>5</v>
      </c>
      <c r="F10" s="21"/>
      <c r="G10" s="14"/>
      <c r="H10" s="15"/>
    </row>
    <row r="11">
      <c r="A11" s="12" t="s">
        <v>14</v>
      </c>
      <c r="B11" s="21"/>
      <c r="C11" s="14"/>
      <c r="D11" s="15"/>
      <c r="E11" s="12" t="s">
        <v>15</v>
      </c>
      <c r="F11" s="21"/>
      <c r="G11" s="14"/>
      <c r="H11" s="15"/>
    </row>
    <row r="12">
      <c r="A12" s="12" t="s">
        <v>16</v>
      </c>
      <c r="B12" s="21"/>
      <c r="C12" s="14"/>
      <c r="D12" s="15"/>
      <c r="E12" s="12" t="s">
        <v>17</v>
      </c>
      <c r="F12" s="21"/>
      <c r="G12" s="14"/>
      <c r="H12" s="15"/>
    </row>
    <row r="13">
      <c r="A13" s="22" t="s">
        <v>18</v>
      </c>
    </row>
    <row r="14" ht="30.0" customHeight="1"/>
    <row r="16" ht="24.0" customHeight="1">
      <c r="A16" s="23" t="s">
        <v>19</v>
      </c>
      <c r="B16" s="24" t="s">
        <v>20</v>
      </c>
      <c r="C16" s="14"/>
      <c r="D16" s="15"/>
      <c r="E16" s="23" t="s">
        <v>21</v>
      </c>
      <c r="F16" s="24" t="s">
        <v>22</v>
      </c>
      <c r="G16" s="15"/>
      <c r="H16" s="23" t="s">
        <v>23</v>
      </c>
    </row>
    <row r="17">
      <c r="A17" s="25">
        <v>1.0</v>
      </c>
      <c r="B17" s="26" t="s">
        <v>24</v>
      </c>
      <c r="C17" s="14"/>
      <c r="D17" s="15"/>
      <c r="E17" s="27">
        <v>15000.0</v>
      </c>
      <c r="F17" s="28">
        <f t="shared" ref="F17:F31" si="1">IF(OR(A17="",E17=""),"",A17*E17)</f>
        <v>15000</v>
      </c>
      <c r="G17" s="15"/>
      <c r="H17" s="29"/>
    </row>
    <row r="18">
      <c r="A18" s="30">
        <v>2.0</v>
      </c>
      <c r="B18" s="31" t="s">
        <v>25</v>
      </c>
      <c r="C18" s="14"/>
      <c r="D18" s="15"/>
      <c r="E18" s="32"/>
      <c r="F18" s="33" t="str">
        <f t="shared" si="1"/>
        <v/>
      </c>
      <c r="G18" s="15"/>
      <c r="H18" s="34"/>
    </row>
    <row r="19">
      <c r="A19" s="35"/>
      <c r="B19" s="31" t="s">
        <v>26</v>
      </c>
      <c r="C19" s="14"/>
      <c r="D19" s="15"/>
      <c r="E19" s="36"/>
      <c r="F19" s="28" t="str">
        <f t="shared" si="1"/>
        <v/>
      </c>
      <c r="G19" s="15"/>
      <c r="H19" s="29"/>
    </row>
    <row r="20">
      <c r="A20" s="37"/>
      <c r="B20" s="31" t="s">
        <v>26</v>
      </c>
      <c r="C20" s="14"/>
      <c r="D20" s="15"/>
      <c r="E20" s="32"/>
      <c r="F20" s="33" t="str">
        <f t="shared" si="1"/>
        <v/>
      </c>
      <c r="G20" s="15"/>
      <c r="H20" s="34"/>
    </row>
    <row r="21">
      <c r="A21" s="35"/>
      <c r="B21" s="38"/>
      <c r="C21" s="14"/>
      <c r="D21" s="15"/>
      <c r="E21" s="36"/>
      <c r="F21" s="28" t="str">
        <f t="shared" si="1"/>
        <v/>
      </c>
      <c r="G21" s="15"/>
      <c r="H21" s="29"/>
    </row>
    <row r="22">
      <c r="A22" s="37"/>
      <c r="B22" s="39"/>
      <c r="C22" s="14"/>
      <c r="D22" s="15"/>
      <c r="E22" s="32"/>
      <c r="F22" s="33" t="str">
        <f t="shared" si="1"/>
        <v/>
      </c>
      <c r="G22" s="15"/>
      <c r="H22" s="34"/>
    </row>
    <row r="23">
      <c r="A23" s="35"/>
      <c r="B23" s="40"/>
      <c r="C23" s="14"/>
      <c r="D23" s="15"/>
      <c r="E23" s="36"/>
      <c r="F23" s="28" t="str">
        <f t="shared" si="1"/>
        <v/>
      </c>
      <c r="G23" s="15"/>
      <c r="H23" s="29"/>
    </row>
    <row r="24">
      <c r="A24" s="37"/>
      <c r="B24" s="39"/>
      <c r="C24" s="14"/>
      <c r="D24" s="15"/>
      <c r="E24" s="32"/>
      <c r="F24" s="33" t="str">
        <f t="shared" si="1"/>
        <v/>
      </c>
      <c r="G24" s="15"/>
      <c r="H24" s="34"/>
    </row>
    <row r="25">
      <c r="A25" s="35"/>
      <c r="B25" s="40"/>
      <c r="C25" s="14"/>
      <c r="D25" s="15"/>
      <c r="E25" s="36"/>
      <c r="F25" s="28" t="str">
        <f t="shared" si="1"/>
        <v/>
      </c>
      <c r="G25" s="15"/>
      <c r="H25" s="29"/>
    </row>
    <row r="26">
      <c r="A26" s="37"/>
      <c r="B26" s="39"/>
      <c r="C26" s="14"/>
      <c r="D26" s="15"/>
      <c r="E26" s="32"/>
      <c r="F26" s="33" t="str">
        <f t="shared" si="1"/>
        <v/>
      </c>
      <c r="G26" s="15"/>
      <c r="H26" s="34"/>
    </row>
    <row r="27">
      <c r="A27" s="35"/>
      <c r="B27" s="40"/>
      <c r="C27" s="14"/>
      <c r="D27" s="15"/>
      <c r="E27" s="36"/>
      <c r="F27" s="28" t="str">
        <f t="shared" si="1"/>
        <v/>
      </c>
      <c r="G27" s="15"/>
      <c r="H27" s="29"/>
    </row>
    <row r="28">
      <c r="A28" s="37"/>
      <c r="B28" s="39"/>
      <c r="C28" s="14"/>
      <c r="D28" s="15"/>
      <c r="E28" s="32"/>
      <c r="F28" s="33" t="str">
        <f t="shared" si="1"/>
        <v/>
      </c>
      <c r="G28" s="15"/>
      <c r="H28" s="34"/>
    </row>
    <row r="29">
      <c r="A29" s="35"/>
      <c r="B29" s="40"/>
      <c r="C29" s="14"/>
      <c r="D29" s="15"/>
      <c r="E29" s="36"/>
      <c r="F29" s="28" t="str">
        <f t="shared" si="1"/>
        <v/>
      </c>
      <c r="G29" s="15"/>
      <c r="H29" s="29"/>
    </row>
    <row r="30">
      <c r="A30" s="37"/>
      <c r="B30" s="39"/>
      <c r="C30" s="14"/>
      <c r="D30" s="15"/>
      <c r="E30" s="32"/>
      <c r="F30" s="33" t="str">
        <f t="shared" si="1"/>
        <v/>
      </c>
      <c r="G30" s="15"/>
      <c r="H30" s="34"/>
    </row>
    <row r="31">
      <c r="A31" s="35"/>
      <c r="B31" s="40"/>
      <c r="C31" s="14"/>
      <c r="D31" s="15"/>
      <c r="E31" s="36"/>
      <c r="F31" s="28" t="str">
        <f t="shared" si="1"/>
        <v/>
      </c>
      <c r="G31" s="15"/>
      <c r="H31" s="29"/>
    </row>
    <row r="32" ht="15.75" customHeight="1">
      <c r="A32" s="41"/>
      <c r="H32" s="10"/>
    </row>
    <row r="33" ht="21.75" customHeight="1">
      <c r="A33" s="42" t="s">
        <v>27</v>
      </c>
      <c r="E33" s="43" t="s">
        <v>28</v>
      </c>
      <c r="F33" s="44">
        <f>SUM(F17:F31)</f>
        <v>15000</v>
      </c>
      <c r="G33" s="14"/>
      <c r="H33" s="15"/>
    </row>
    <row r="34" ht="19.5" customHeight="1">
      <c r="A34" s="45" t="s">
        <v>29</v>
      </c>
      <c r="E34" s="43" t="s">
        <v>30</v>
      </c>
      <c r="F34" s="44">
        <f>F33*0.19</f>
        <v>2850</v>
      </c>
      <c r="G34" s="14"/>
      <c r="H34" s="15"/>
    </row>
    <row r="35" ht="21.75" customHeight="1">
      <c r="A35" s="45" t="s">
        <v>31</v>
      </c>
      <c r="E35" s="46" t="s">
        <v>32</v>
      </c>
      <c r="F35" s="47">
        <f>F33+F34</f>
        <v>17850</v>
      </c>
      <c r="G35" s="14"/>
      <c r="H35" s="15"/>
    </row>
    <row r="36" ht="18.0" customHeight="1">
      <c r="A36" s="45" t="s">
        <v>33</v>
      </c>
    </row>
    <row r="37" ht="15.75" customHeight="1"/>
    <row r="38" ht="21.75" customHeight="1">
      <c r="A38" s="48" t="s">
        <v>34</v>
      </c>
      <c r="B38" s="14"/>
      <c r="C38" s="14"/>
      <c r="D38" s="14"/>
      <c r="E38" s="14"/>
      <c r="F38" s="14"/>
      <c r="G38" s="14"/>
      <c r="H38" s="15"/>
    </row>
    <row r="39" ht="33.75" customHeight="1">
      <c r="A39" s="49" t="s">
        <v>35</v>
      </c>
      <c r="B39" s="14"/>
      <c r="C39" s="14"/>
      <c r="D39" s="14"/>
      <c r="E39" s="14"/>
      <c r="F39" s="14"/>
      <c r="G39" s="14"/>
      <c r="H39" s="15"/>
    </row>
  </sheetData>
  <mergeCells count="63">
    <mergeCell ref="F25:G25"/>
    <mergeCell ref="F26:G26"/>
    <mergeCell ref="F27:G27"/>
    <mergeCell ref="F28:G28"/>
    <mergeCell ref="F29:G29"/>
    <mergeCell ref="F30:G30"/>
    <mergeCell ref="F31:G31"/>
    <mergeCell ref="B24:D24"/>
    <mergeCell ref="B25:D25"/>
    <mergeCell ref="B26:D26"/>
    <mergeCell ref="B27:D27"/>
    <mergeCell ref="B28:D28"/>
    <mergeCell ref="B29:D29"/>
    <mergeCell ref="B30:D30"/>
    <mergeCell ref="E36:H37"/>
    <mergeCell ref="A37:D37"/>
    <mergeCell ref="A38:H38"/>
    <mergeCell ref="A39:H39"/>
    <mergeCell ref="B31:D31"/>
    <mergeCell ref="A32:H32"/>
    <mergeCell ref="A33:D33"/>
    <mergeCell ref="F33:H33"/>
    <mergeCell ref="A34:D34"/>
    <mergeCell ref="F34:H34"/>
    <mergeCell ref="F35:H35"/>
    <mergeCell ref="B7:D7"/>
    <mergeCell ref="B8:D8"/>
    <mergeCell ref="B9:D9"/>
    <mergeCell ref="B10:D10"/>
    <mergeCell ref="B11:D11"/>
    <mergeCell ref="B12:D12"/>
    <mergeCell ref="A1:D4"/>
    <mergeCell ref="E1:H2"/>
    <mergeCell ref="E3:H5"/>
    <mergeCell ref="A5:D5"/>
    <mergeCell ref="B6:D6"/>
    <mergeCell ref="F6:H6"/>
    <mergeCell ref="F7:H7"/>
    <mergeCell ref="F8:H8"/>
    <mergeCell ref="F9:H9"/>
    <mergeCell ref="F10:H10"/>
    <mergeCell ref="F11:H11"/>
    <mergeCell ref="F12:H12"/>
    <mergeCell ref="A13:H15"/>
    <mergeCell ref="F16:G16"/>
    <mergeCell ref="F19:G19"/>
    <mergeCell ref="F20:G20"/>
    <mergeCell ref="B16:D16"/>
    <mergeCell ref="B17:D17"/>
    <mergeCell ref="F17:G17"/>
    <mergeCell ref="B18:D18"/>
    <mergeCell ref="F18:G18"/>
    <mergeCell ref="B19:D19"/>
    <mergeCell ref="B20:D20"/>
    <mergeCell ref="B21:D21"/>
    <mergeCell ref="F21:G21"/>
    <mergeCell ref="B22:D22"/>
    <mergeCell ref="F22:G22"/>
    <mergeCell ref="B23:D23"/>
    <mergeCell ref="F23:G23"/>
    <mergeCell ref="F24:G24"/>
    <mergeCell ref="A35:D35"/>
    <mergeCell ref="A36:D36"/>
  </mergeCells>
  <printOptions/>
  <pageMargins bottom="1.8568346914041363" footer="0.0" header="0.0" left="0.696313009276551" right="4.64208672851034" top="0.75"/>
  <pageSetup paperSize="9" orientation="portrait"/>
  <drawing r:id="rId1"/>
</worksheet>
</file>